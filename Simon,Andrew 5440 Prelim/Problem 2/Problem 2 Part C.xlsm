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 Stuff\Junior Save Folder\Spring\5440\Prelim 1\Question 2\To Submit\Part C\"/>
    </mc:Choice>
  </mc:AlternateContent>
  <xr:revisionPtr revIDLastSave="0" documentId="13_ncr:1_{CD80F2C9-A54C-427F-9690-4D0E49384650}" xr6:coauthVersionLast="45" xr6:coauthVersionMax="45" xr10:uidLastSave="{00000000-0000-0000-0000-000000000000}"/>
  <bookViews>
    <workbookView xWindow="-22845" yWindow="2265" windowWidth="21600" windowHeight="11385" xr2:uid="{3948B9DD-5D37-4496-B3EB-34E45152C471}"/>
  </bookViews>
  <sheets>
    <sheet name="2 Part C" sheetId="1" r:id="rId1"/>
  </sheets>
  <definedNames>
    <definedName name="solver_adj" localSheetId="0" hidden="1">'2 Part C'!$B$36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'2 Part C'!$C$36</definedName>
    <definedName name="solver_pre" localSheetId="0" hidden="1">0.000000001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35" i="1"/>
  <c r="E35" i="1" s="1"/>
  <c r="C36" i="1"/>
  <c r="E36" i="1" s="1"/>
  <c r="C2" i="1"/>
  <c r="E2" i="1" s="1"/>
  <c r="A4" i="1" a="1"/>
  <c r="A4" i="1" s="1"/>
  <c r="A2" i="1" a="1"/>
  <c r="A2" i="1" s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<sst xmlns="http://schemas.openxmlformats.org/spreadsheetml/2006/main" count="7" uniqueCount="7">
  <si>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X</t>
  </si>
  <si>
    <t>z</t>
  </si>
  <si>
    <t>zero column (Have solver get this column to zero)</t>
  </si>
  <si>
    <t>Squared errors</t>
  </si>
  <si>
    <t>Sum of Squared errors</t>
  </si>
  <si>
    <t>S (Solver manipulated variable)</t>
  </si>
  <si>
    <t>x (given input)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</si>
</sst>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 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 Part C'!$D$1</c:f>
              <c:strCache>
                <c:ptCount val="1"/>
                <c:pt idx="0">
                  <c:v>x (given input)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 Part C'!$B$2:$B$36</c:f>
              <c:numCache>
                <c:formatCode>General</c:formatCode>
                <c:ptCount val="35"/>
                <c:pt idx="0">
                  <c:v>0</c:v>
                </c:pt>
                <c:pt idx="1">
                  <c:v>0.25965510634180244</c:v>
                </c:pt>
                <c:pt idx="2">
                  <c:v>0.54024953300844269</c:v>
                </c:pt>
                <c:pt idx="3">
                  <c:v>0.80532998616403528</c:v>
                </c:pt>
                <c:pt idx="4">
                  <c:v>1.0405243899776875</c:v>
                </c:pt>
                <c:pt idx="5">
                  <c:v>1.2328526383174978</c:v>
                </c:pt>
                <c:pt idx="6">
                  <c:v>1.3734533422797601</c:v>
                </c:pt>
                <c:pt idx="7">
                  <c:v>1.4594105782771569</c:v>
                </c:pt>
                <c:pt idx="8">
                  <c:v>1.494118235906835</c:v>
                </c:pt>
                <c:pt idx="9">
                  <c:v>1.4861665877636283</c:v>
                </c:pt>
                <c:pt idx="10">
                  <c:v>1.447265618513204</c:v>
                </c:pt>
                <c:pt idx="11">
                  <c:v>1.3899560199620289</c:v>
                </c:pt>
                <c:pt idx="12">
                  <c:v>1.3257430882220969</c:v>
                </c:pt>
                <c:pt idx="13">
                  <c:v>1.2639695229669536</c:v>
                </c:pt>
                <c:pt idx="14">
                  <c:v>1.2114244821673767</c:v>
                </c:pt>
                <c:pt idx="15">
                  <c:v>1.1724939335452724</c:v>
                </c:pt>
                <c:pt idx="16">
                  <c:v>1.1496071226706388</c:v>
                </c:pt>
                <c:pt idx="17">
                  <c:v>1.1437760100521823</c:v>
                </c:pt>
                <c:pt idx="18">
                  <c:v>1.1550995446023906</c:v>
                </c:pt>
                <c:pt idx="19">
                  <c:v>1.1831731831747203</c:v>
                </c:pt>
                <c:pt idx="20">
                  <c:v>1.2273909829378433</c:v>
                </c:pt>
                <c:pt idx="21">
                  <c:v>1.2871526110288933</c:v>
                </c:pt>
                <c:pt idx="22">
                  <c:v>1.3619972177762329</c:v>
                </c:pt>
                <c:pt idx="23">
                  <c:v>1.4516867284671953</c:v>
                </c:pt>
                <c:pt idx="24">
                  <c:v>1.5562579039335578</c:v>
                </c:pt>
                <c:pt idx="25">
                  <c:v>1.6760582780219138</c:v>
                </c:pt>
                <c:pt idx="26">
                  <c:v>1.8117773819157987</c:v>
                </c:pt>
                <c:pt idx="27">
                  <c:v>1.9644819968648428</c:v>
                </c:pt>
                <c:pt idx="28">
                  <c:v>2.1356627345203827</c:v>
                </c:pt>
                <c:pt idx="29">
                  <c:v>2.3272989513033617</c:v>
                </c:pt>
                <c:pt idx="30">
                  <c:v>2.5419500192248599</c:v>
                </c:pt>
                <c:pt idx="31">
                  <c:v>2.7828832668630383</c:v>
                </c:pt>
                <c:pt idx="32">
                  <c:v>3.0542532532617583</c:v>
                </c:pt>
                <c:pt idx="33">
                  <c:v>3.3613539843712452</c:v>
                </c:pt>
                <c:pt idx="34">
                  <c:v>3.7109771753962475</c:v>
                </c:pt>
              </c:numCache>
            </c:numRef>
          </c:xVal>
          <c:yVal>
            <c:numRef>
              <c:f>'2 Part C'!$D$2:$D$36</c:f>
              <c:numCache>
                <c:formatCode>General</c:formatCode>
                <c:ptCount val="35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33D-4BE2-A5D2-608F0A94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8783"/>
        <c:axId val="1887336175"/>
      </c:scatterChart>
      <c:valAx>
        <c:axId val="1909918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336175"/>
        <c:crosses val="autoZero"/>
        <c:crossBetween val="midCat"/>
      </c:valAx>
      <c:valAx>
        <c:axId val="188733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8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47625</xdr:rowOff>
    </xdr:from>
    <xdr:to>
      <xdr:col>10</xdr:col>
      <xdr:colOff>361950</xdr:colOff>
      <xdr:row>18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F853C-6C66-4344-A05F-C9E15E147E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647699</xdr:colOff>
      <xdr:row>18</xdr:row>
      <xdr:rowOff>1</xdr:rowOff>
    </xdr:from>
    <xdr:to>
      <xdr:col>9</xdr:col>
      <xdr:colOff>304799</xdr:colOff>
      <xdr:row>19</xdr:row>
      <xdr:rowOff>95251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92782F-77CA-48C8-8799-9D951DEFA590}"/>
            </a:ext>
          </a:extLst>
        </xdr:cNvPr>
        <xdr:cNvSpPr txBox="1"/>
      </xdr:nvSpPr>
      <xdr:spPr>
        <a:xfrm>
          <a:off x="8086724" y="3429001"/>
          <a:ext cx="32670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Qualitatively yes the figure can be reproduced.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951D-C89D-439B-A662-15CC34A28367}">
  <sheetPr codeName="Sheet1"/>
  <dimension ref="A1:H36"/>
  <sheetViews>
    <sheetView tabSelected="1" workbookViewId="0">
      <selection activeCell="L14" sqref="L14"/>
    </sheetView>
  </sheetViews>
  <sheetFormatPr defaultRowHeight="15" x14ac:dyDescent="0.25"/>
  <cols>
    <col min="1" max="1" width="8.42578125" bestFit="1" customWidth="1"/>
    <col min="2" max="2" width="29.28515625" bestFit="1" customWidth="1"/>
    <col min="3" max="3" width="45.7109375" bestFit="1" customWidth="1"/>
    <col min="4" max="4" width="14" bestFit="1" customWidth="1"/>
    <col min="5" max="5" width="14.140625" bestFit="1" customWidth="1"/>
    <col min="6" max="6" width="20.85546875" bestFit="1" customWidth="1"/>
    <col min="8" max="8" width="15" customWidth="1"/>
  </cols>
  <sheetData>
    <row r="1" spans="1:8" x14ac:dyDescent="0.25">
      <c r="A1" t="s">
        <v>0</v>
      </c>
      <c r="B1" t="s">
        <v>5</v>
      </c>
      <c r="C1" t="s">
        <v>2</v>
      </c>
      <c r="D1" t="s">
        <v>6</v>
      </c>
      <c r="E1" t="s">
        <v>3</v>
      </c>
      <c r="F1" t="s">
        <v>4</v>
      </c>
    </row>
    <row r="2" spans="1:8" x14ac:dyDescent="0.25">
      <c r="A2" t="e" cm="1">
        <f t="array" ref="A2">(1.5+5*B2)/(2+B2+(z/0.4)^2.7)</f>
        <v>#NAME?</v>
      </c>
      <c r="B2">
        <v>0</v>
      </c>
      <c r="C2">
        <f>(1.5+5*B2)/(2+B2+((1/(1+(D2/1.5)^2.7))/0.4)^2.7)-D2</f>
        <v>8.3166827693861856E-3</v>
      </c>
      <c r="D2">
        <v>0.1</v>
      </c>
      <c r="E2">
        <f>C2^2</f>
        <v>6.9167212286605067E-5</v>
      </c>
      <c r="F2">
        <f>SUM(E2:E36)</f>
        <v>6.9167212286608875E-5</v>
      </c>
    </row>
    <row r="3" spans="1:8" x14ac:dyDescent="0.25">
      <c r="A3" t="s">
        <v>1</v>
      </c>
      <c r="B3">
        <v>0.25965510634180244</v>
      </c>
      <c r="C3">
        <f t="shared" ref="C3:C36" si="0">(1.5+5*B3)/(2+B3+((1/(1+(D3/1.5)^2.7))/0.4)^2.7)-D3</f>
        <v>6.8992073165574652E-10</v>
      </c>
      <c r="D3">
        <v>0.2</v>
      </c>
      <c r="E3">
        <f t="shared" ref="E3:E36" si="1">C3^2</f>
        <v>4.759906159684006E-19</v>
      </c>
    </row>
    <row r="4" spans="1:8" x14ac:dyDescent="0.25">
      <c r="A4" t="e" cm="1">
        <f t="array" ref="A4">1/(1+(x/1.5)^2.7)</f>
        <v>#NAME?</v>
      </c>
      <c r="B4">
        <v>0.54024953300844269</v>
      </c>
      <c r="C4">
        <f t="shared" si="0"/>
        <v>5.1230242270605686E-11</v>
      </c>
      <c r="D4">
        <v>0.3</v>
      </c>
      <c r="E4">
        <f t="shared" si="1"/>
        <v>2.6245377231049536E-21</v>
      </c>
    </row>
    <row r="5" spans="1:8" x14ac:dyDescent="0.25">
      <c r="B5">
        <v>0.80532998616403528</v>
      </c>
      <c r="C5">
        <f t="shared" si="0"/>
        <v>1.0278994322376889E-10</v>
      </c>
      <c r="D5">
        <v>0.4</v>
      </c>
      <c r="E5">
        <f t="shared" si="1"/>
        <v>1.0565772427945631E-20</v>
      </c>
      <c r="F5" s="1"/>
      <c r="G5" s="1"/>
      <c r="H5" s="1"/>
    </row>
    <row r="6" spans="1:8" x14ac:dyDescent="0.25">
      <c r="B6">
        <v>1.0405243899776875</v>
      </c>
      <c r="C6">
        <f t="shared" si="0"/>
        <v>6.3422789242650879E-10</v>
      </c>
      <c r="D6">
        <v>0.5</v>
      </c>
      <c r="E6">
        <f t="shared" si="1"/>
        <v>4.022450195317712E-19</v>
      </c>
      <c r="F6" s="1"/>
      <c r="G6" s="1"/>
      <c r="H6" s="1"/>
    </row>
    <row r="7" spans="1:8" x14ac:dyDescent="0.25">
      <c r="B7">
        <v>1.2328526383174978</v>
      </c>
      <c r="C7">
        <f t="shared" si="0"/>
        <v>1.2889644906977082E-10</v>
      </c>
      <c r="D7">
        <v>0.6</v>
      </c>
      <c r="E7">
        <f t="shared" si="1"/>
        <v>1.6614294582796024E-20</v>
      </c>
    </row>
    <row r="8" spans="1:8" x14ac:dyDescent="0.25">
      <c r="B8">
        <v>1.3734533422797601</v>
      </c>
      <c r="C8">
        <f t="shared" si="0"/>
        <v>1.4416290383678643E-10</v>
      </c>
      <c r="D8">
        <v>0.7</v>
      </c>
      <c r="E8">
        <f t="shared" si="1"/>
        <v>2.0782942842654531E-20</v>
      </c>
    </row>
    <row r="9" spans="1:8" x14ac:dyDescent="0.25">
      <c r="B9">
        <v>1.4594105782771569</v>
      </c>
      <c r="C9">
        <f t="shared" si="0"/>
        <v>3.8031078286593356E-10</v>
      </c>
      <c r="D9">
        <v>0.8</v>
      </c>
      <c r="E9">
        <f t="shared" si="1"/>
        <v>1.4463629156409926E-19</v>
      </c>
    </row>
    <row r="10" spans="1:8" x14ac:dyDescent="0.25">
      <c r="B10">
        <v>1.494118235906835</v>
      </c>
      <c r="C10">
        <f t="shared" si="0"/>
        <v>1.3738143955777105E-10</v>
      </c>
      <c r="D10">
        <v>0.9</v>
      </c>
      <c r="E10">
        <f t="shared" si="1"/>
        <v>1.8873659934965499E-20</v>
      </c>
    </row>
    <row r="11" spans="1:8" x14ac:dyDescent="0.25">
      <c r="B11">
        <v>1.4861665877636283</v>
      </c>
      <c r="C11">
        <f t="shared" si="0"/>
        <v>1.3530132569883335E-10</v>
      </c>
      <c r="D11">
        <v>1</v>
      </c>
      <c r="E11">
        <f t="shared" si="1"/>
        <v>1.8306448735861783E-20</v>
      </c>
    </row>
    <row r="12" spans="1:8" x14ac:dyDescent="0.25">
      <c r="B12">
        <v>1.447265618513204</v>
      </c>
      <c r="C12">
        <f t="shared" si="0"/>
        <v>1.9454460264967111E-10</v>
      </c>
      <c r="D12">
        <v>1.1000000000000001</v>
      </c>
      <c r="E12">
        <f t="shared" si="1"/>
        <v>3.7847602420118418E-20</v>
      </c>
    </row>
    <row r="13" spans="1:8" x14ac:dyDescent="0.25">
      <c r="B13">
        <v>1.3899560199620289</v>
      </c>
      <c r="C13">
        <f t="shared" si="0"/>
        <v>2.221349770792358E-10</v>
      </c>
      <c r="D13">
        <v>1.2</v>
      </c>
      <c r="E13">
        <f t="shared" si="1"/>
        <v>4.9343948041992612E-20</v>
      </c>
    </row>
    <row r="14" spans="1:8" x14ac:dyDescent="0.25">
      <c r="B14">
        <v>1.3257430882220969</v>
      </c>
      <c r="C14">
        <f t="shared" si="0"/>
        <v>1.5611600900911071E-10</v>
      </c>
      <c r="D14">
        <v>1.3</v>
      </c>
      <c r="E14">
        <f t="shared" si="1"/>
        <v>2.4372208268932737E-20</v>
      </c>
    </row>
    <row r="15" spans="1:8" x14ac:dyDescent="0.25">
      <c r="B15">
        <v>1.2639695229669536</v>
      </c>
      <c r="C15">
        <f t="shared" si="0"/>
        <v>-2.604518822835189E-10</v>
      </c>
      <c r="D15">
        <v>1.4</v>
      </c>
      <c r="E15">
        <f t="shared" si="1"/>
        <v>6.7835182985027985E-20</v>
      </c>
    </row>
    <row r="16" spans="1:8" x14ac:dyDescent="0.25">
      <c r="B16">
        <v>1.2114244821673767</v>
      </c>
      <c r="C16">
        <f t="shared" si="0"/>
        <v>1.2018119832646335E-10</v>
      </c>
      <c r="D16">
        <v>1.5</v>
      </c>
      <c r="E16">
        <f t="shared" si="1"/>
        <v>1.4443520431184716E-20</v>
      </c>
    </row>
    <row r="17" spans="2:5" x14ac:dyDescent="0.25">
      <c r="B17">
        <v>1.1724939335452724</v>
      </c>
      <c r="C17">
        <f t="shared" si="0"/>
        <v>2.6771318495377727E-10</v>
      </c>
      <c r="D17">
        <v>1.6</v>
      </c>
      <c r="E17">
        <f t="shared" si="1"/>
        <v>7.1670349398095358E-20</v>
      </c>
    </row>
    <row r="18" spans="2:5" x14ac:dyDescent="0.25">
      <c r="B18">
        <v>1.1496071226706388</v>
      </c>
      <c r="C18">
        <f t="shared" si="0"/>
        <v>8.1132478513268325E-10</v>
      </c>
      <c r="D18">
        <v>1.7</v>
      </c>
      <c r="E18">
        <f t="shared" si="1"/>
        <v>6.5824790697059464E-19</v>
      </c>
    </row>
    <row r="19" spans="2:5" x14ac:dyDescent="0.25">
      <c r="B19">
        <v>1.1437760100521823</v>
      </c>
      <c r="C19">
        <f t="shared" si="0"/>
        <v>-1.8131673940047222E-10</v>
      </c>
      <c r="D19">
        <v>1.8</v>
      </c>
      <c r="E19">
        <f t="shared" si="1"/>
        <v>3.2875759986818754E-20</v>
      </c>
    </row>
    <row r="20" spans="2:5" x14ac:dyDescent="0.25">
      <c r="B20">
        <v>1.1550995446023906</v>
      </c>
      <c r="C20">
        <f t="shared" si="0"/>
        <v>-1.9257662131622055E-10</v>
      </c>
      <c r="D20">
        <v>1.9</v>
      </c>
      <c r="E20">
        <f t="shared" si="1"/>
        <v>3.7085755077571012E-20</v>
      </c>
    </row>
    <row r="21" spans="2:5" x14ac:dyDescent="0.25">
      <c r="B21">
        <v>1.1831731831747203</v>
      </c>
      <c r="C21">
        <f t="shared" si="0"/>
        <v>-6.2259908339967751E-10</v>
      </c>
      <c r="D21">
        <v>2</v>
      </c>
      <c r="E21">
        <f t="shared" si="1"/>
        <v>3.8762961865011859E-19</v>
      </c>
    </row>
    <row r="22" spans="2:5" x14ac:dyDescent="0.25">
      <c r="B22">
        <v>1.2273909829378433</v>
      </c>
      <c r="C22">
        <f t="shared" si="0"/>
        <v>9.4626972924061192E-11</v>
      </c>
      <c r="D22">
        <v>2.1</v>
      </c>
      <c r="E22">
        <f t="shared" si="1"/>
        <v>8.95426400477101E-21</v>
      </c>
    </row>
    <row r="23" spans="2:5" x14ac:dyDescent="0.25">
      <c r="B23">
        <v>1.2871526110288933</v>
      </c>
      <c r="C23">
        <f t="shared" si="0"/>
        <v>1.2879475264071516E-10</v>
      </c>
      <c r="D23">
        <v>2.2000000000000002</v>
      </c>
      <c r="E23">
        <f t="shared" si="1"/>
        <v>1.6588088307783005E-20</v>
      </c>
    </row>
    <row r="24" spans="2:5" x14ac:dyDescent="0.25">
      <c r="B24">
        <v>1.3619972177762329</v>
      </c>
      <c r="C24">
        <f t="shared" si="0"/>
        <v>9.978640136409922E-11</v>
      </c>
      <c r="D24">
        <v>2.2999999999999998</v>
      </c>
      <c r="E24">
        <f t="shared" si="1"/>
        <v>9.9573258971971026E-21</v>
      </c>
    </row>
    <row r="25" spans="2:5" x14ac:dyDescent="0.25">
      <c r="B25">
        <v>1.4516867284671953</v>
      </c>
      <c r="C25">
        <f t="shared" si="0"/>
        <v>-2.9185809324872025E-10</v>
      </c>
      <c r="D25">
        <v>2.4</v>
      </c>
      <c r="E25">
        <f t="shared" si="1"/>
        <v>8.5181146594778686E-20</v>
      </c>
    </row>
    <row r="26" spans="2:5" x14ac:dyDescent="0.25">
      <c r="B26">
        <v>1.5562579039335578</v>
      </c>
      <c r="C26">
        <f t="shared" si="0"/>
        <v>-4.1292880226251327E-10</v>
      </c>
      <c r="D26">
        <v>2.5</v>
      </c>
      <c r="E26">
        <f t="shared" si="1"/>
        <v>1.7051019573795379E-19</v>
      </c>
    </row>
    <row r="27" spans="2:5" x14ac:dyDescent="0.25">
      <c r="B27">
        <v>1.6760582780219138</v>
      </c>
      <c r="C27">
        <f t="shared" si="0"/>
        <v>-2.76587641678816E-10</v>
      </c>
      <c r="D27">
        <v>2.6</v>
      </c>
      <c r="E27">
        <f t="shared" si="1"/>
        <v>7.6500723529449113E-20</v>
      </c>
    </row>
    <row r="28" spans="2:5" x14ac:dyDescent="0.25">
      <c r="B28">
        <v>1.8117773819157987</v>
      </c>
      <c r="C28">
        <f t="shared" si="0"/>
        <v>2.1883561629465476E-10</v>
      </c>
      <c r="D28">
        <v>2.7</v>
      </c>
      <c r="E28">
        <f t="shared" si="1"/>
        <v>4.7889026959061366E-20</v>
      </c>
    </row>
    <row r="29" spans="2:5" x14ac:dyDescent="0.25">
      <c r="B29">
        <v>1.9644819968648428</v>
      </c>
      <c r="C29">
        <f t="shared" si="0"/>
        <v>2.2735768823167746E-10</v>
      </c>
      <c r="D29">
        <v>2.8</v>
      </c>
      <c r="E29">
        <f t="shared" si="1"/>
        <v>5.1691518398052646E-20</v>
      </c>
    </row>
    <row r="30" spans="2:5" x14ac:dyDescent="0.25">
      <c r="B30">
        <v>2.1356627345203827</v>
      </c>
      <c r="C30">
        <f t="shared" si="0"/>
        <v>6.0930860357188976E-10</v>
      </c>
      <c r="D30">
        <v>2.9</v>
      </c>
      <c r="E30">
        <f t="shared" si="1"/>
        <v>3.7125697438672631E-19</v>
      </c>
    </row>
    <row r="31" spans="2:5" x14ac:dyDescent="0.25">
      <c r="B31">
        <v>2.3272989513033617</v>
      </c>
      <c r="C31">
        <f t="shared" si="0"/>
        <v>-4.0404479761946277E-10</v>
      </c>
      <c r="D31">
        <v>3</v>
      </c>
      <c r="E31">
        <f t="shared" si="1"/>
        <v>1.6325219848335263E-19</v>
      </c>
    </row>
    <row r="32" spans="2:5" x14ac:dyDescent="0.25">
      <c r="B32">
        <v>2.5419500192248599</v>
      </c>
      <c r="C32">
        <f t="shared" si="0"/>
        <v>-3.9568659460087474E-10</v>
      </c>
      <c r="D32">
        <v>3.1</v>
      </c>
      <c r="E32">
        <f t="shared" si="1"/>
        <v>1.56567881146837E-19</v>
      </c>
    </row>
    <row r="33" spans="2:5" x14ac:dyDescent="0.25">
      <c r="B33">
        <v>2.7828832668630383</v>
      </c>
      <c r="C33">
        <f t="shared" si="0"/>
        <v>-1.4379253343577147E-10</v>
      </c>
      <c r="D33">
        <v>3.2</v>
      </c>
      <c r="E33">
        <f t="shared" si="1"/>
        <v>2.0676292671877457E-20</v>
      </c>
    </row>
    <row r="34" spans="2:5" x14ac:dyDescent="0.25">
      <c r="B34">
        <v>3.0542532532617583</v>
      </c>
      <c r="C34">
        <f t="shared" si="0"/>
        <v>-9.1002316793264981E-11</v>
      </c>
      <c r="D34">
        <v>3.3</v>
      </c>
      <c r="E34">
        <f t="shared" si="1"/>
        <v>8.2814216617417576E-21</v>
      </c>
    </row>
    <row r="35" spans="2:5" x14ac:dyDescent="0.25">
      <c r="B35">
        <v>3.3613539843712452</v>
      </c>
      <c r="C35">
        <f t="shared" si="0"/>
        <v>9.3426155700626623E-11</v>
      </c>
      <c r="D35">
        <v>3.4</v>
      </c>
      <c r="E35">
        <f t="shared" si="1"/>
        <v>8.7284465689977284E-21</v>
      </c>
    </row>
    <row r="36" spans="2:5" x14ac:dyDescent="0.25">
      <c r="B36">
        <v>3.7109771753962475</v>
      </c>
      <c r="C36">
        <f t="shared" si="0"/>
        <v>2.5950130932983484E-10</v>
      </c>
      <c r="D36">
        <v>3.5</v>
      </c>
      <c r="E36">
        <f t="shared" si="1"/>
        <v>6.7340929543898626E-20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 Part 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</dc:creator>
  <cp:lastModifiedBy>Andrew S</cp:lastModifiedBy>
  <dcterms:created xsi:type="dcterms:W3CDTF">2020-05-09T22:16:37Z</dcterms:created>
  <dcterms:modified xsi:type="dcterms:W3CDTF">2020-05-11T15:42:51Z</dcterms:modified>
</cp:coreProperties>
</file>